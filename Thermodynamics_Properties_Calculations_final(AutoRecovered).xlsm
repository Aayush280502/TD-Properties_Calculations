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xr:revisionPtr revIDLastSave="0" documentId="13_ncr:1_{8A11FAD4-6FF9-4A86-9DB5-1741AB33FD98}" xr6:coauthVersionLast="47" xr6:coauthVersionMax="47" xr10:uidLastSave="{00000000-0000-0000-0000-000000000000}"/>
  <bookViews>
    <workbookView xWindow="-108" yWindow="-108" windowWidth="23256" windowHeight="13176" xr2:uid="{FBA8EFF5-CA28-4010-9948-4C21BA786338}"/>
  </bookViews>
  <sheets>
    <sheet name="Sheet2" sheetId="2" r:id="rId1"/>
  </sheets>
  <functionGroups builtInGroupCount="19"/>
  <definedNames>
    <definedName name="a">Sheet2!$E$10</definedName>
    <definedName name="b">Sheet2!$E$11</definedName>
    <definedName name="cc">Sheet2!$E$12</definedName>
    <definedName name="d">Sheet2!$E$13</definedName>
    <definedName name="M">Sheet2!$E$20</definedName>
    <definedName name="omega">Sheet2!$E$21</definedName>
    <definedName name="Pc">Sheet2!$E$19</definedName>
    <definedName name="Pt">Sheet2!$E$17</definedName>
    <definedName name="solver_adj" localSheetId="0" hidden="1">Sheet2!$K$9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Sheet2!$K$15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  <definedName name="Tc">Sheet2!$E$18</definedName>
    <definedName name="Tt">Sheet2!$E$16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6" i="2" l="1"/>
  <c r="E29" i="2"/>
  <c r="K28" i="2"/>
  <c r="E6" i="2"/>
  <c r="K23" i="2"/>
  <c r="K12" i="2"/>
  <c r="K22" i="2"/>
  <c r="K15" i="2"/>
  <c r="K10" i="2"/>
  <c r="K7" i="2"/>
  <c r="E27" i="2"/>
  <c r="E7" i="2"/>
  <c r="K25" i="2" l="1"/>
  <c r="K30" i="2" s="1"/>
</calcChain>
</file>

<file path=xl/sharedStrings.xml><?xml version="1.0" encoding="utf-8"?>
<sst xmlns="http://schemas.openxmlformats.org/spreadsheetml/2006/main" count="92" uniqueCount="66">
  <si>
    <t>Pure Fluid</t>
  </si>
  <si>
    <t>Vapour Pressure Calculations</t>
  </si>
  <si>
    <t>Vapour Pressure</t>
  </si>
  <si>
    <t>Wagner Equation Coefficients</t>
  </si>
  <si>
    <t>Propane</t>
  </si>
  <si>
    <t>T</t>
  </si>
  <si>
    <t>K</t>
  </si>
  <si>
    <t>bar</t>
  </si>
  <si>
    <t>a</t>
  </si>
  <si>
    <t>b</t>
  </si>
  <si>
    <t>c</t>
  </si>
  <si>
    <t>d</t>
  </si>
  <si>
    <t>Fluid Properties</t>
  </si>
  <si>
    <t>Triple Temperature</t>
  </si>
  <si>
    <t>Triple Pressure</t>
  </si>
  <si>
    <t>Critical Temperature</t>
  </si>
  <si>
    <t>Critical Pressure</t>
  </si>
  <si>
    <t>Tc</t>
  </si>
  <si>
    <t>Pc</t>
  </si>
  <si>
    <t>Pv</t>
  </si>
  <si>
    <t>Tt</t>
  </si>
  <si>
    <t>Pt</t>
  </si>
  <si>
    <t>θ</t>
  </si>
  <si>
    <r>
      <rPr>
        <sz val="11"/>
        <color theme="1"/>
        <rFont val="Calibri"/>
        <family val="2"/>
      </rPr>
      <t>˚</t>
    </r>
    <r>
      <rPr>
        <sz val="11"/>
        <color theme="1"/>
        <rFont val="Calibri"/>
        <family val="2"/>
        <scheme val="minor"/>
      </rPr>
      <t>C</t>
    </r>
  </si>
  <si>
    <t>Boiling Temperature Calculations</t>
  </si>
  <si>
    <t>Pressure(Pt&lt;P&lt;Pc)</t>
  </si>
  <si>
    <t>P</t>
  </si>
  <si>
    <t>Temperature(Tt&lt;T&lt;Tc)</t>
  </si>
  <si>
    <t>Boiling Temperature</t>
  </si>
  <si>
    <t>Tb</t>
  </si>
  <si>
    <t>θb</t>
  </si>
  <si>
    <t>˚C</t>
  </si>
  <si>
    <t>P-Pv=0</t>
  </si>
  <si>
    <t>Molar Mass</t>
  </si>
  <si>
    <t>M</t>
  </si>
  <si>
    <t>Kg/Kmol</t>
  </si>
  <si>
    <t>Accentric Factor</t>
  </si>
  <si>
    <t>ω</t>
  </si>
  <si>
    <t>PENG-ROBINSON EOS</t>
  </si>
  <si>
    <t>Density Calculations</t>
  </si>
  <si>
    <t>Temperature</t>
  </si>
  <si>
    <t>Pressure</t>
  </si>
  <si>
    <t>Molar Volume</t>
  </si>
  <si>
    <t>Vm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</si>
  <si>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/mol</t>
    </r>
  </si>
  <si>
    <t>Ppr-P=0</t>
  </si>
  <si>
    <t>Peng Robinson Pressure</t>
  </si>
  <si>
    <t>DENSITY</t>
  </si>
  <si>
    <t>ρ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</si>
  <si>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</si>
  <si>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CLAUSIUS-CLAPEYRON EQUATION</t>
  </si>
  <si>
    <t>Specific Volumes</t>
  </si>
  <si>
    <t>Saturated Vapour</t>
  </si>
  <si>
    <t>Boiling Liquid</t>
  </si>
  <si>
    <t>v''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</si>
  <si>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/kg</t>
    </r>
  </si>
  <si>
    <t>v'</t>
  </si>
  <si>
    <r>
      <t xml:space="preserve">Chosen Difference </t>
    </r>
    <r>
      <rPr>
        <sz val="11"/>
        <color theme="1"/>
        <rFont val="Calibri"/>
        <family val="2"/>
      </rPr>
      <t>ΔT</t>
    </r>
  </si>
  <si>
    <t>ΔT</t>
  </si>
  <si>
    <t>Derivative of vapour pressure curve</t>
  </si>
  <si>
    <t xml:space="preserve">dPv/dT </t>
  </si>
  <si>
    <t>bar/K</t>
  </si>
  <si>
    <t>VAPORIZATION ENTHALPY CALCULATIONS</t>
  </si>
  <si>
    <t>Vaporization Enthalpy</t>
  </si>
  <si>
    <t>ΔHv</t>
  </si>
  <si>
    <t>kJ/kg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</si>
</sst>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i/>
      <u/>
      <sz val="14"/>
      <color rgb="FFFF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2" xfId="0" applyFill="1" applyBorder="1"/>
    <xf numFmtId="0" fontId="1" fillId="2" borderId="0" xfId="0" applyFont="1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7" xfId="0" applyFill="1" applyBorder="1"/>
    <xf numFmtId="0" fontId="0" fillId="2" borderId="8" xfId="0" applyFill="1" applyBorder="1"/>
    <xf numFmtId="0" fontId="1" fillId="3" borderId="0" xfId="0" applyFont="1" applyFill="1" applyBorder="1"/>
    <xf numFmtId="0" fontId="0" fillId="3" borderId="0" xfId="0" applyFill="1" applyBorder="1"/>
    <xf numFmtId="0" fontId="2" fillId="3" borderId="0" xfId="0" applyFont="1" applyFill="1" applyBorder="1"/>
    <xf numFmtId="0" fontId="3" fillId="2" borderId="0" xfId="0" applyFont="1" applyFill="1" applyBorder="1" applyAlignment="1"/>
    <xf numFmtId="0" fontId="4" fillId="2" borderId="3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0" fillId="0" borderId="0" xfId="0" applyBorder="1"/>
    <xf numFmtId="0" fontId="0" fillId="2" borderId="4" xfId="0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1" fillId="2" borderId="0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left"/>
    </xf>
    <xf numFmtId="164" fontId="0" fillId="2" borderId="0" xfId="0" applyNumberFormat="1" applyFill="1" applyBorder="1" applyAlignment="1">
      <alignment horizontal="left"/>
    </xf>
    <xf numFmtId="11" fontId="0" fillId="2" borderId="0" xfId="0" applyNumberFormat="1" applyFill="1" applyBorder="1" applyAlignment="1">
      <alignment horizontal="left"/>
    </xf>
    <xf numFmtId="0" fontId="0" fillId="2" borderId="6" xfId="0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2" xfId="0" applyFill="1" applyBorder="1" applyAlignment="1">
      <alignment horizontal="left"/>
    </xf>
    <xf numFmtId="0" fontId="1" fillId="3" borderId="0" xfId="0" applyFont="1" applyFill="1" applyBorder="1" applyAlignment="1">
      <alignment horizontal="left"/>
    </xf>
    <xf numFmtId="0" fontId="0" fillId="3" borderId="0" xfId="0" applyFill="1" applyBorder="1" applyAlignment="1">
      <alignment horizontal="left"/>
    </xf>
    <xf numFmtId="0" fontId="2" fillId="3" borderId="0" xfId="0" applyFont="1" applyFill="1" applyBorder="1" applyAlignment="1">
      <alignment horizontal="left"/>
    </xf>
    <xf numFmtId="164" fontId="0" fillId="3" borderId="0" xfId="0" applyNumberFormat="1" applyFill="1" applyBorder="1" applyAlignment="1">
      <alignment horizontal="left"/>
    </xf>
    <xf numFmtId="0" fontId="1" fillId="2" borderId="0" xfId="0" applyFont="1" applyFill="1" applyBorder="1" applyAlignment="1"/>
    <xf numFmtId="0" fontId="4" fillId="2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960120</xdr:colOff>
          <xdr:row>27</xdr:row>
          <xdr:rowOff>99060</xdr:rowOff>
        </xdr:from>
        <xdr:to>
          <xdr:col>2</xdr:col>
          <xdr:colOff>1874520</xdr:colOff>
          <xdr:row>29</xdr:row>
          <xdr:rowOff>38100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388620</xdr:colOff>
          <xdr:row>14</xdr:row>
          <xdr:rowOff>22860</xdr:rowOff>
        </xdr:from>
        <xdr:to>
          <xdr:col>8</xdr:col>
          <xdr:colOff>1303020</xdr:colOff>
          <xdr:row>15</xdr:row>
          <xdr:rowOff>144780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D2E1D-2D58-4B71-AF6B-70A7528449DC}">
  <sheetPr codeName="Sheet2"/>
  <dimension ref="B1:M31"/>
  <sheetViews>
    <sheetView tabSelected="1" workbookViewId="0">
      <selection activeCell="H5" sqref="H5"/>
    </sheetView>
  </sheetViews>
  <sheetFormatPr defaultRowHeight="14.4" x14ac:dyDescent="0.3"/>
  <cols>
    <col min="1" max="1" width="3.88671875" customWidth="1"/>
    <col min="2" max="2" width="3.21875" customWidth="1"/>
    <col min="3" max="3" width="28" customWidth="1"/>
    <col min="9" max="9" width="29.77734375" customWidth="1"/>
  </cols>
  <sheetData>
    <row r="1" spans="2:13" ht="15" thickBot="1" x14ac:dyDescent="0.35">
      <c r="B1" s="13"/>
      <c r="C1" s="13"/>
      <c r="D1" s="13"/>
      <c r="E1" s="13"/>
      <c r="F1" s="13"/>
      <c r="G1" s="13"/>
      <c r="H1" s="13"/>
    </row>
    <row r="2" spans="2:13" ht="14.4" customHeight="1" x14ac:dyDescent="0.35">
      <c r="B2" s="22"/>
      <c r="C2" s="23"/>
      <c r="D2" s="23"/>
      <c r="E2" s="23"/>
      <c r="F2" s="23"/>
      <c r="G2" s="23"/>
      <c r="H2" s="1"/>
      <c r="I2" s="31" t="s">
        <v>38</v>
      </c>
      <c r="J2" s="31"/>
      <c r="K2" s="31"/>
      <c r="L2" s="31"/>
      <c r="M2" s="11"/>
    </row>
    <row r="3" spans="2:13" ht="14.4" customHeight="1" x14ac:dyDescent="0.35">
      <c r="B3" s="14"/>
      <c r="C3" s="16" t="s">
        <v>0</v>
      </c>
      <c r="D3" s="15"/>
      <c r="E3" s="15" t="s">
        <v>4</v>
      </c>
      <c r="F3" s="15"/>
      <c r="G3" s="15"/>
      <c r="H3" s="3"/>
      <c r="I3" s="29"/>
      <c r="J3" s="29"/>
      <c r="K3" s="29"/>
      <c r="L3" s="29"/>
      <c r="M3" s="12"/>
    </row>
    <row r="4" spans="2:13" x14ac:dyDescent="0.3">
      <c r="B4" s="14"/>
      <c r="C4" s="24" t="s">
        <v>1</v>
      </c>
      <c r="D4" s="25"/>
      <c r="E4" s="25"/>
      <c r="F4" s="25"/>
      <c r="G4" s="15"/>
      <c r="H4" s="3"/>
      <c r="I4" s="10"/>
      <c r="J4" s="10"/>
      <c r="K4" s="10"/>
      <c r="L4" s="10"/>
      <c r="M4" s="4"/>
    </row>
    <row r="5" spans="2:13" x14ac:dyDescent="0.3">
      <c r="B5" s="14"/>
      <c r="C5" s="25" t="s">
        <v>27</v>
      </c>
      <c r="D5" s="25" t="s">
        <v>5</v>
      </c>
      <c r="E5" s="25">
        <v>298.82889999999998</v>
      </c>
      <c r="F5" s="25" t="s">
        <v>6</v>
      </c>
      <c r="G5" s="15"/>
      <c r="H5" s="3"/>
      <c r="I5" s="2" t="s">
        <v>39</v>
      </c>
      <c r="J5" s="3"/>
      <c r="K5" s="3"/>
      <c r="L5" s="3"/>
      <c r="M5" s="4"/>
    </row>
    <row r="6" spans="2:13" x14ac:dyDescent="0.3">
      <c r="B6" s="14"/>
      <c r="C6" s="25"/>
      <c r="D6" s="26" t="s">
        <v>22</v>
      </c>
      <c r="E6" s="25">
        <f>Theta(E5)</f>
        <v>25.678899999999999</v>
      </c>
      <c r="F6" s="25" t="s">
        <v>23</v>
      </c>
      <c r="G6" s="15"/>
      <c r="H6" s="3"/>
      <c r="I6" s="3" t="s">
        <v>40</v>
      </c>
      <c r="J6" s="3" t="s">
        <v>5</v>
      </c>
      <c r="K6" s="3">
        <v>300</v>
      </c>
      <c r="L6" s="3" t="s">
        <v>6</v>
      </c>
      <c r="M6" s="4"/>
    </row>
    <row r="7" spans="2:13" x14ac:dyDescent="0.3">
      <c r="B7" s="14"/>
      <c r="C7" s="25" t="s">
        <v>2</v>
      </c>
      <c r="D7" s="25" t="s">
        <v>19</v>
      </c>
      <c r="E7" s="27">
        <f>P_v(E5,a,b,cc,d,Tc,Pc)</f>
        <v>9.9999876727969053</v>
      </c>
      <c r="F7" s="25" t="s">
        <v>7</v>
      </c>
      <c r="G7" s="15"/>
      <c r="H7" s="3"/>
      <c r="I7" s="3"/>
      <c r="J7" s="3" t="s">
        <v>22</v>
      </c>
      <c r="K7" s="3">
        <f>Theta(K6)</f>
        <v>26.850000000000023</v>
      </c>
      <c r="L7" s="3" t="s">
        <v>31</v>
      </c>
      <c r="M7" s="4"/>
    </row>
    <row r="8" spans="2:13" x14ac:dyDescent="0.3">
      <c r="B8" s="14"/>
      <c r="C8" s="25"/>
      <c r="D8" s="25"/>
      <c r="E8" s="25"/>
      <c r="F8" s="25"/>
      <c r="G8" s="15"/>
      <c r="H8" s="3"/>
      <c r="I8" s="3" t="s">
        <v>41</v>
      </c>
      <c r="J8" s="3" t="s">
        <v>26</v>
      </c>
      <c r="K8" s="3">
        <v>10.285259999999999</v>
      </c>
      <c r="L8" s="3" t="s">
        <v>7</v>
      </c>
      <c r="M8" s="4"/>
    </row>
    <row r="9" spans="2:13" ht="16.2" x14ac:dyDescent="0.3">
      <c r="B9" s="14"/>
      <c r="C9" s="16" t="s">
        <v>3</v>
      </c>
      <c r="D9" s="15"/>
      <c r="E9" s="15"/>
      <c r="F9" s="15"/>
      <c r="G9" s="15"/>
      <c r="H9" s="3"/>
      <c r="I9" s="3" t="s">
        <v>42</v>
      </c>
      <c r="J9" s="3" t="s">
        <v>43</v>
      </c>
      <c r="K9" s="3">
        <v>1.960007866887551E-3</v>
      </c>
      <c r="L9" s="3" t="s">
        <v>44</v>
      </c>
      <c r="M9" s="4"/>
    </row>
    <row r="10" spans="2:13" x14ac:dyDescent="0.3">
      <c r="B10" s="14"/>
      <c r="C10" s="15"/>
      <c r="D10" s="15" t="s">
        <v>8</v>
      </c>
      <c r="E10" s="15">
        <v>-6.7636799999999999</v>
      </c>
      <c r="F10" s="15"/>
      <c r="G10" s="15"/>
      <c r="H10" s="3"/>
      <c r="I10" s="3" t="s">
        <v>2</v>
      </c>
      <c r="J10" s="3" t="s">
        <v>19</v>
      </c>
      <c r="K10" s="3">
        <f>IF(K6&gt;Tc,"",P_v(K6,a,b,cc,d,Tc,Pc))</f>
        <v>10.285256692968874</v>
      </c>
      <c r="L10" s="3" t="s">
        <v>7</v>
      </c>
      <c r="M10" s="4"/>
    </row>
    <row r="11" spans="2:13" x14ac:dyDescent="0.3">
      <c r="B11" s="14"/>
      <c r="C11" s="15"/>
      <c r="D11" s="15" t="s">
        <v>9</v>
      </c>
      <c r="E11" s="15">
        <v>1.55481</v>
      </c>
      <c r="F11" s="15"/>
      <c r="G11" s="15"/>
      <c r="H11" s="3"/>
      <c r="I11" s="3"/>
      <c r="J11" s="3"/>
      <c r="K11" s="3"/>
      <c r="L11" s="3"/>
      <c r="M11" s="4"/>
    </row>
    <row r="12" spans="2:13" ht="16.2" x14ac:dyDescent="0.3">
      <c r="B12" s="14"/>
      <c r="C12" s="15"/>
      <c r="D12" s="15" t="s">
        <v>10</v>
      </c>
      <c r="E12" s="15">
        <v>-1.5871999999999999</v>
      </c>
      <c r="F12" s="15"/>
      <c r="G12" s="15"/>
      <c r="H12" s="3"/>
      <c r="I12" s="7" t="s">
        <v>47</v>
      </c>
      <c r="J12" s="9" t="s">
        <v>48</v>
      </c>
      <c r="K12" s="8">
        <f>rho(M,K9)</f>
        <v>22.497664802755526</v>
      </c>
      <c r="L12" s="8" t="s">
        <v>49</v>
      </c>
      <c r="M12" s="4"/>
    </row>
    <row r="13" spans="2:13" x14ac:dyDescent="0.3">
      <c r="B13" s="14"/>
      <c r="C13" s="15"/>
      <c r="D13" s="15" t="s">
        <v>11</v>
      </c>
      <c r="E13" s="15">
        <v>-2.024</v>
      </c>
      <c r="F13" s="15"/>
      <c r="G13" s="15"/>
      <c r="H13" s="3"/>
      <c r="I13" s="8"/>
      <c r="J13" s="8"/>
      <c r="K13" s="8"/>
      <c r="L13" s="8"/>
      <c r="M13" s="4"/>
    </row>
    <row r="14" spans="2:13" x14ac:dyDescent="0.3">
      <c r="B14" s="14"/>
      <c r="C14" s="15"/>
      <c r="D14" s="15"/>
      <c r="E14" s="15"/>
      <c r="F14" s="15"/>
      <c r="G14" s="15"/>
      <c r="H14" s="3"/>
      <c r="I14" s="7" t="s">
        <v>46</v>
      </c>
      <c r="J14" s="8"/>
      <c r="K14" s="8"/>
      <c r="L14" s="8"/>
      <c r="M14" s="4"/>
    </row>
    <row r="15" spans="2:13" x14ac:dyDescent="0.3">
      <c r="B15" s="14"/>
      <c r="C15" s="16" t="s">
        <v>12</v>
      </c>
      <c r="D15" s="15"/>
      <c r="E15" s="15"/>
      <c r="F15" s="15"/>
      <c r="G15" s="15"/>
      <c r="H15" s="3"/>
      <c r="I15" s="8"/>
      <c r="J15" s="8" t="s">
        <v>45</v>
      </c>
      <c r="K15" s="8">
        <f>Ppr_minus_P(K6,K9,Tc,Pc,omega,K8)</f>
        <v>5.1816459745168686E-7</v>
      </c>
      <c r="L15" s="8"/>
      <c r="M15" s="4"/>
    </row>
    <row r="16" spans="2:13" x14ac:dyDescent="0.3">
      <c r="B16" s="14"/>
      <c r="C16" s="15" t="s">
        <v>13</v>
      </c>
      <c r="D16" s="15" t="s">
        <v>20</v>
      </c>
      <c r="E16" s="15">
        <v>85</v>
      </c>
      <c r="F16" s="15" t="s">
        <v>6</v>
      </c>
      <c r="G16" s="15"/>
      <c r="H16" s="3"/>
      <c r="I16" s="8"/>
      <c r="J16" s="8"/>
      <c r="K16" s="8"/>
      <c r="L16" s="8"/>
      <c r="M16" s="4"/>
    </row>
    <row r="17" spans="2:13" x14ac:dyDescent="0.3">
      <c r="B17" s="14"/>
      <c r="C17" s="15" t="s">
        <v>14</v>
      </c>
      <c r="D17" s="15" t="s">
        <v>21</v>
      </c>
      <c r="E17" s="19">
        <v>1.6850000000000001E-9</v>
      </c>
      <c r="F17" s="15" t="s">
        <v>7</v>
      </c>
      <c r="G17" s="15"/>
      <c r="H17" s="3"/>
      <c r="I17" s="3"/>
      <c r="J17" s="3"/>
      <c r="K17" s="3"/>
      <c r="L17" s="3"/>
      <c r="M17" s="4"/>
    </row>
    <row r="18" spans="2:13" x14ac:dyDescent="0.3">
      <c r="B18" s="14"/>
      <c r="C18" s="15" t="s">
        <v>15</v>
      </c>
      <c r="D18" s="15" t="s">
        <v>17</v>
      </c>
      <c r="E18" s="15">
        <v>369.85</v>
      </c>
      <c r="F18" s="15" t="s">
        <v>6</v>
      </c>
      <c r="G18" s="15"/>
      <c r="H18" s="3"/>
      <c r="I18" s="29" t="s">
        <v>50</v>
      </c>
      <c r="J18" s="30"/>
      <c r="K18" s="30"/>
      <c r="L18" s="30"/>
      <c r="M18" s="4"/>
    </row>
    <row r="19" spans="2:13" x14ac:dyDescent="0.3">
      <c r="B19" s="14"/>
      <c r="C19" s="15" t="s">
        <v>16</v>
      </c>
      <c r="D19" s="15" t="s">
        <v>18</v>
      </c>
      <c r="E19" s="15">
        <v>42.47</v>
      </c>
      <c r="F19" s="15" t="s">
        <v>7</v>
      </c>
      <c r="G19" s="15"/>
      <c r="H19" s="3"/>
      <c r="I19" s="30"/>
      <c r="J19" s="30"/>
      <c r="K19" s="30"/>
      <c r="L19" s="30"/>
      <c r="M19" s="4"/>
    </row>
    <row r="20" spans="2:13" x14ac:dyDescent="0.3">
      <c r="B20" s="14"/>
      <c r="C20" s="15" t="s">
        <v>33</v>
      </c>
      <c r="D20" s="15" t="s">
        <v>34</v>
      </c>
      <c r="E20" s="15">
        <v>44.095599999999997</v>
      </c>
      <c r="F20" s="15" t="s">
        <v>35</v>
      </c>
      <c r="G20" s="15"/>
      <c r="H20" s="3"/>
      <c r="I20" s="28" t="s">
        <v>62</v>
      </c>
      <c r="J20" s="3"/>
      <c r="K20" s="3"/>
      <c r="L20" s="3"/>
      <c r="M20" s="4"/>
    </row>
    <row r="21" spans="2:13" x14ac:dyDescent="0.3">
      <c r="B21" s="14"/>
      <c r="C21" s="15" t="s">
        <v>36</v>
      </c>
      <c r="D21" s="17" t="s">
        <v>37</v>
      </c>
      <c r="E21" s="15">
        <v>0.152</v>
      </c>
      <c r="F21" s="15"/>
      <c r="G21" s="15"/>
      <c r="H21" s="3"/>
      <c r="I21" s="15" t="s">
        <v>27</v>
      </c>
      <c r="J21" s="15" t="s">
        <v>5</v>
      </c>
      <c r="K21" s="15">
        <v>300</v>
      </c>
      <c r="L21" s="15" t="s">
        <v>6</v>
      </c>
      <c r="M21" s="4"/>
    </row>
    <row r="22" spans="2:13" x14ac:dyDescent="0.3">
      <c r="B22" s="14"/>
      <c r="C22" s="15"/>
      <c r="D22" s="15"/>
      <c r="E22" s="15"/>
      <c r="F22" s="15"/>
      <c r="G22" s="15"/>
      <c r="H22" s="3"/>
      <c r="I22" s="15"/>
      <c r="J22" s="17" t="s">
        <v>22</v>
      </c>
      <c r="K22" s="15">
        <f>Theta(K21)</f>
        <v>26.850000000000023</v>
      </c>
      <c r="L22" s="15" t="s">
        <v>23</v>
      </c>
      <c r="M22" s="4"/>
    </row>
    <row r="23" spans="2:13" x14ac:dyDescent="0.3">
      <c r="B23" s="14"/>
      <c r="C23" s="24" t="s">
        <v>24</v>
      </c>
      <c r="D23" s="25"/>
      <c r="E23" s="25"/>
      <c r="F23" s="25"/>
      <c r="G23" s="15"/>
      <c r="H23" s="3"/>
      <c r="I23" s="15" t="s">
        <v>2</v>
      </c>
      <c r="J23" s="15" t="s">
        <v>19</v>
      </c>
      <c r="K23" s="18">
        <f>P_v(K21,a,b,cc,d,Tc,Pc)</f>
        <v>10.285256692968874</v>
      </c>
      <c r="L23" s="15" t="s">
        <v>7</v>
      </c>
      <c r="M23" s="4"/>
    </row>
    <row r="24" spans="2:13" x14ac:dyDescent="0.3">
      <c r="B24" s="14"/>
      <c r="C24" s="25"/>
      <c r="D24" s="25"/>
      <c r="E24" s="25"/>
      <c r="F24" s="25"/>
      <c r="G24" s="15"/>
      <c r="H24" s="3"/>
      <c r="I24" s="16" t="s">
        <v>51</v>
      </c>
      <c r="J24" s="15"/>
      <c r="K24" s="15"/>
      <c r="L24" s="15"/>
      <c r="M24" s="4"/>
    </row>
    <row r="25" spans="2:13" ht="16.2" x14ac:dyDescent="0.3">
      <c r="B25" s="14"/>
      <c r="C25" s="25" t="s">
        <v>25</v>
      </c>
      <c r="D25" s="25" t="s">
        <v>26</v>
      </c>
      <c r="E25" s="25">
        <v>10</v>
      </c>
      <c r="F25" s="25" t="s">
        <v>7</v>
      </c>
      <c r="G25" s="15"/>
      <c r="H25" s="3"/>
      <c r="I25" s="8" t="s">
        <v>52</v>
      </c>
      <c r="J25" s="8" t="s">
        <v>54</v>
      </c>
      <c r="K25" s="8">
        <f>1/K12</f>
        <v>4.4449057658531715E-2</v>
      </c>
      <c r="L25" s="8" t="s">
        <v>55</v>
      </c>
      <c r="M25" s="4"/>
    </row>
    <row r="26" spans="2:13" ht="16.2" x14ac:dyDescent="0.3">
      <c r="B26" s="14"/>
      <c r="C26" s="25" t="s">
        <v>28</v>
      </c>
      <c r="D26" s="25" t="s">
        <v>29</v>
      </c>
      <c r="E26" s="25">
        <v>298.82895041124436</v>
      </c>
      <c r="F26" s="25" t="s">
        <v>6</v>
      </c>
      <c r="G26" s="15"/>
      <c r="H26" s="3"/>
      <c r="I26" s="8" t="s">
        <v>53</v>
      </c>
      <c r="J26" s="8" t="s">
        <v>56</v>
      </c>
      <c r="K26" s="8">
        <f>1/(221+373.2481*(1-K21/Tc)^0.35+324.1771*(1-K21/Tc)^(2/3)-431.6048*(1-K21/Tc)+327.5258*(1-K21/Tc)^(4/3))</f>
        <v>2.040952858539685E-3</v>
      </c>
      <c r="L26" s="8" t="s">
        <v>55</v>
      </c>
      <c r="M26" s="4"/>
    </row>
    <row r="27" spans="2:13" x14ac:dyDescent="0.3">
      <c r="B27" s="14"/>
      <c r="C27" s="25"/>
      <c r="D27" s="25" t="s">
        <v>30</v>
      </c>
      <c r="E27" s="25">
        <f>Theta(E26)</f>
        <v>25.678950411244386</v>
      </c>
      <c r="F27" s="25" t="s">
        <v>31</v>
      </c>
      <c r="G27" s="15"/>
      <c r="H27" s="3"/>
      <c r="I27" s="8" t="s">
        <v>57</v>
      </c>
      <c r="J27" s="8" t="s">
        <v>58</v>
      </c>
      <c r="K27" s="8">
        <v>1E-3</v>
      </c>
      <c r="L27" s="8" t="s">
        <v>6</v>
      </c>
      <c r="M27" s="4"/>
    </row>
    <row r="28" spans="2:13" x14ac:dyDescent="0.3">
      <c r="B28" s="14"/>
      <c r="C28" s="25"/>
      <c r="D28" s="25"/>
      <c r="E28" s="25"/>
      <c r="F28" s="25"/>
      <c r="G28" s="15"/>
      <c r="H28" s="3"/>
      <c r="I28" s="8" t="s">
        <v>59</v>
      </c>
      <c r="J28" s="8" t="s">
        <v>60</v>
      </c>
      <c r="K28" s="8">
        <f>(P_v(K21+0.0005,a,b,cc,d,Tc,Pc)-P_v(K21-0.0005,a,b,cc,d,Tc,Pc))/0.001</f>
        <v>0.24619838922745885</v>
      </c>
      <c r="L28" s="8" t="s">
        <v>61</v>
      </c>
      <c r="M28" s="4"/>
    </row>
    <row r="29" spans="2:13" x14ac:dyDescent="0.3">
      <c r="B29" s="14"/>
      <c r="C29" s="25"/>
      <c r="D29" s="25" t="s">
        <v>32</v>
      </c>
      <c r="E29" s="25">
        <f>E25-P_v(E26,a,b,cc,d,Tc,Pc)</f>
        <v>1.7830291909604057E-7</v>
      </c>
      <c r="F29" s="25" t="s">
        <v>7</v>
      </c>
      <c r="G29" s="15"/>
      <c r="H29" s="3"/>
      <c r="I29" s="8"/>
      <c r="J29" s="8"/>
      <c r="K29" s="8"/>
      <c r="L29" s="8"/>
      <c r="M29" s="4"/>
    </row>
    <row r="30" spans="2:13" x14ac:dyDescent="0.3">
      <c r="B30" s="14"/>
      <c r="C30" s="25"/>
      <c r="D30" s="25"/>
      <c r="E30" s="25"/>
      <c r="F30" s="25"/>
      <c r="G30" s="15"/>
      <c r="H30" s="3"/>
      <c r="I30" s="8" t="s">
        <v>63</v>
      </c>
      <c r="J30" s="9" t="s">
        <v>64</v>
      </c>
      <c r="K30" s="8">
        <f>(K25-K26)*K21*K28*100</f>
        <v>313.22421275841913</v>
      </c>
      <c r="L30" s="8" t="s">
        <v>65</v>
      </c>
      <c r="M30" s="4"/>
    </row>
    <row r="31" spans="2:13" ht="15" thickBot="1" x14ac:dyDescent="0.35">
      <c r="B31" s="20"/>
      <c r="C31" s="21"/>
      <c r="D31" s="21"/>
      <c r="E31" s="21"/>
      <c r="F31" s="21"/>
      <c r="G31" s="21"/>
      <c r="H31" s="5"/>
      <c r="I31" s="5"/>
      <c r="J31" s="5"/>
      <c r="K31" s="5"/>
      <c r="L31" s="5"/>
      <c r="M31" s="6"/>
    </row>
  </sheetData>
  <mergeCells count="2">
    <mergeCell ref="I18:L19"/>
    <mergeCell ref="I2:L3"/>
  </mergeCells>
  <dataValidations count="5">
    <dataValidation type="decimal" allowBlank="1" showInputMessage="1" showErrorMessage="1" sqref="E25" xr:uid="{9A9C563F-C295-4A9B-95C0-DFFCD9EC775F}">
      <formula1>E17</formula1>
      <formula2>E19</formula2>
    </dataValidation>
    <dataValidation type="decimal" allowBlank="1" showInputMessage="1" showErrorMessage="1" sqref="E5" xr:uid="{53F34F21-A0D4-49D6-A3E0-59302E0BA739}">
      <formula1>E16</formula1>
      <formula2>E18</formula2>
    </dataValidation>
    <dataValidation type="decimal" operator="greaterThan" allowBlank="1" showInputMessage="1" showErrorMessage="1" sqref="K6" xr:uid="{36742EB2-988D-46BC-B023-7E6868DABE34}">
      <formula1>E16</formula1>
    </dataValidation>
    <dataValidation type="decimal" allowBlank="1" showInputMessage="1" showErrorMessage="1" sqref="K8" xr:uid="{9137EA47-3B2B-4E68-8EAA-14E856E7615B}">
      <formula1>0</formula1>
      <formula2>IF(K6&gt;E18,1000,K10)</formula2>
    </dataValidation>
    <dataValidation type="decimal" allowBlank="1" showInputMessage="1" showErrorMessage="1" sqref="K21" xr:uid="{091DDD64-C8E4-4606-AE6B-A70C867752BA}">
      <formula1>E16</formula1>
      <formula2>E18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CommandButton2">
          <controlPr autoLine="0" r:id="rId4">
            <anchor moveWithCells="1">
              <from>
                <xdr:col>8</xdr:col>
                <xdr:colOff>388620</xdr:colOff>
                <xdr:row>14</xdr:row>
                <xdr:rowOff>22860</xdr:rowOff>
              </from>
              <to>
                <xdr:col>8</xdr:col>
                <xdr:colOff>1303020</xdr:colOff>
                <xdr:row>15</xdr:row>
                <xdr:rowOff>144780</xdr:rowOff>
              </to>
            </anchor>
          </controlPr>
        </control>
      </mc:Choice>
      <mc:Fallback>
        <control shapeId="2051" r:id="rId3" name="CommandButton2"/>
      </mc:Fallback>
    </mc:AlternateContent>
    <mc:AlternateContent xmlns:mc="http://schemas.openxmlformats.org/markup-compatibility/2006">
      <mc:Choice Requires="x14">
        <control shapeId="2049" r:id="rId5" name="CommandButton1">
          <controlPr autoLine="0" r:id="rId6">
            <anchor moveWithCells="1">
              <from>
                <xdr:col>2</xdr:col>
                <xdr:colOff>960120</xdr:colOff>
                <xdr:row>27</xdr:row>
                <xdr:rowOff>99060</xdr:rowOff>
              </from>
              <to>
                <xdr:col>2</xdr:col>
                <xdr:colOff>1874520</xdr:colOff>
                <xdr:row>29</xdr:row>
                <xdr:rowOff>38100</xdr:rowOff>
              </to>
            </anchor>
          </controlPr>
        </control>
      </mc:Choice>
      <mc:Fallback>
        <control shapeId="2049" r:id="rId5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Sheet2</vt:lpstr>
      <vt:lpstr>a</vt:lpstr>
      <vt:lpstr>b</vt:lpstr>
      <vt:lpstr>cc</vt:lpstr>
      <vt:lpstr>d</vt:lpstr>
      <vt:lpstr>M</vt:lpstr>
      <vt:lpstr>omega</vt:lpstr>
      <vt:lpstr>Pc</vt:lpstr>
      <vt:lpstr>Pt</vt:lpstr>
      <vt:lpstr>Tc</vt:lpstr>
      <vt:lpstr>Tt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2023-09-02T02:01:14Z</dcterms:created>
  <dcterms:modified xsi:type="dcterms:W3CDTF">2023-09-08T21:09:34Z</dcterms:modified>
</cp:coreProperties>
</file>